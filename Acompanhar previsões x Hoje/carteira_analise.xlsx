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eira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R$&quot; #,##0.00;(&quot;R$&quot; #,##0.00);&quot;-&quot;"/>
    <numFmt numFmtId="165" formatCode="#,##0;(#,##0);&quot;-&quot;"/>
    <numFmt numFmtId="166" formatCode="0.0%;(0.0%);&quot;-&quot;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color rgb="00000000"/>
    </font>
    <font>
      <name val="Arial"/>
      <color rgb="000000FF"/>
    </font>
    <font>
      <name val="Arial"/>
      <b val="1"/>
      <color rgb="00000000"/>
    </font>
    <font>
      <name val="Arial"/>
      <b val="1"/>
      <sz val="12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9" customWidth="1" min="2" max="2"/>
    <col width="23" customWidth="1" min="3" max="3"/>
    <col width="17" customWidth="1" min="4" max="4"/>
    <col width="11" customWidth="1" min="5" max="5"/>
    <col width="16" customWidth="1" min="6" max="6"/>
    <col width="16" customWidth="1" min="7" max="7"/>
    <col width="14" customWidth="1" min="8" max="8"/>
    <col width="11" customWidth="1" min="9" max="9"/>
    <col width="13" customWidth="1" min="10" max="10"/>
    <col width="11" customWidth="1" min="11" max="11"/>
  </cols>
  <sheetData>
    <row r="1" ht="26" customHeight="1">
      <c r="A1" s="1" t="inlineStr">
        <is>
          <t>Análise da Carteira — Previsão Jul/2026 vs. Hoje</t>
        </is>
      </c>
    </row>
    <row r="2" ht="30" customHeight="1">
      <c r="A2" s="2" t="inlineStr">
        <is>
          <t>Edite as colunas AMARELAS (Qtd Ações e Preço Atual) — o resto recalcula sozinho.  Acerto % = quão perto a previsão ficou do preço atual.  Lucro = preço atual vs. preço de compra.</t>
        </is>
      </c>
    </row>
    <row r="3" ht="30" customHeight="1">
      <c r="A3" s="3" t="inlineStr">
        <is>
          <t>Ticker</t>
        </is>
      </c>
      <c r="B3" s="3" t="inlineStr">
        <is>
          <t>Previsão Jul/26 (R$)</t>
        </is>
      </c>
      <c r="C3" s="3" t="inlineStr">
        <is>
          <t>Preço Compra 01/06 (R$)</t>
        </is>
      </c>
      <c r="D3" s="3" t="inlineStr">
        <is>
          <t>Preço Atual (R$)</t>
        </is>
      </c>
      <c r="E3" s="3" t="inlineStr">
        <is>
          <t>Qtd Ações</t>
        </is>
      </c>
      <c r="F3" s="3" t="inlineStr">
        <is>
          <t>Total Pago (R$)</t>
        </is>
      </c>
      <c r="G3" s="3" t="inlineStr">
        <is>
          <t>Valor Atual (R$)</t>
        </is>
      </c>
      <c r="H3" s="3" t="inlineStr">
        <is>
          <t>Lucro (R$)</t>
        </is>
      </c>
      <c r="I3" s="3" t="inlineStr">
        <is>
          <t>Lucro %</t>
        </is>
      </c>
      <c r="J3" s="3" t="inlineStr">
        <is>
          <t>Erro Prev. %</t>
        </is>
      </c>
      <c r="K3" s="3" t="inlineStr">
        <is>
          <t>Acerto %</t>
        </is>
      </c>
    </row>
    <row r="4">
      <c r="A4" s="4" t="inlineStr">
        <is>
          <t>PINE4</t>
        </is>
      </c>
      <c r="B4" s="5" t="n">
        <v>16.18</v>
      </c>
      <c r="C4" s="5" t="n">
        <v>12.64</v>
      </c>
      <c r="D4" s="6" t="n">
        <v>12</v>
      </c>
      <c r="E4" s="7" t="n">
        <v>1</v>
      </c>
      <c r="F4" s="5">
        <f>C4*E4</f>
        <v/>
      </c>
      <c r="G4" s="5">
        <f>D4*E4</f>
        <v/>
      </c>
      <c r="H4" s="5">
        <f>G4-F4</f>
        <v/>
      </c>
      <c r="I4" s="8">
        <f>IF(C4=0,0,(D4-C4)/C4)</f>
        <v/>
      </c>
      <c r="J4" s="8">
        <f>IF(D4=0,0,(B4-D4)/D4)</f>
        <v/>
      </c>
      <c r="K4" s="8">
        <f>MAX(0,1-ABS(J4))</f>
        <v/>
      </c>
    </row>
    <row r="5">
      <c r="A5" s="4" t="inlineStr">
        <is>
          <t>UGPA3</t>
        </is>
      </c>
      <c r="B5" s="5" t="n">
        <v>30.88</v>
      </c>
      <c r="C5" s="5" t="n">
        <v>24.92</v>
      </c>
      <c r="D5" s="6" t="n">
        <v>25.60000038146973</v>
      </c>
      <c r="E5" s="7" t="n">
        <v>1</v>
      </c>
      <c r="F5" s="5">
        <f>C5*E5</f>
        <v/>
      </c>
      <c r="G5" s="5">
        <f>D5*E5</f>
        <v/>
      </c>
      <c r="H5" s="5">
        <f>G5-F5</f>
        <v/>
      </c>
      <c r="I5" s="8">
        <f>IF(C5=0,0,(D5-C5)/C5)</f>
        <v/>
      </c>
      <c r="J5" s="8">
        <f>IF(D5=0,0,(B5-D5)/D5)</f>
        <v/>
      </c>
      <c r="K5" s="8">
        <f>MAX(0,1-ABS(J5))</f>
        <v/>
      </c>
    </row>
    <row r="6">
      <c r="A6" s="4" t="inlineStr">
        <is>
          <t>BHIA3</t>
        </is>
      </c>
      <c r="B6" s="5" t="n">
        <v>2.12</v>
      </c>
      <c r="C6" s="5" t="n">
        <v>1.26</v>
      </c>
      <c r="D6" s="6" t="n">
        <v>1.129999995231628</v>
      </c>
      <c r="E6" s="7" t="n">
        <v>1</v>
      </c>
      <c r="F6" s="5">
        <f>C6*E6</f>
        <v/>
      </c>
      <c r="G6" s="5">
        <f>D6*E6</f>
        <v/>
      </c>
      <c r="H6" s="5">
        <f>G6-F6</f>
        <v/>
      </c>
      <c r="I6" s="8">
        <f>IF(C6=0,0,(D6-C6)/C6)</f>
        <v/>
      </c>
      <c r="J6" s="8">
        <f>IF(D6=0,0,(B6-D6)/D6)</f>
        <v/>
      </c>
      <c r="K6" s="8">
        <f>MAX(0,1-ABS(J6))</f>
        <v/>
      </c>
    </row>
    <row r="7">
      <c r="A7" s="4" t="inlineStr">
        <is>
          <t>LIGT3</t>
        </is>
      </c>
      <c r="B7" s="5" t="n">
        <v>3.93</v>
      </c>
      <c r="C7" s="5" t="n">
        <v>2.69</v>
      </c>
      <c r="D7" s="6" t="n">
        <v>3.369999885559082</v>
      </c>
      <c r="E7" s="7" t="n">
        <v>1</v>
      </c>
      <c r="F7" s="5">
        <f>C7*E7</f>
        <v/>
      </c>
      <c r="G7" s="5">
        <f>D7*E7</f>
        <v/>
      </c>
      <c r="H7" s="5">
        <f>G7-F7</f>
        <v/>
      </c>
      <c r="I7" s="8">
        <f>IF(C7=0,0,(D7-C7)/C7)</f>
        <v/>
      </c>
      <c r="J7" s="8">
        <f>IF(D7=0,0,(B7-D7)/D7)</f>
        <v/>
      </c>
      <c r="K7" s="8">
        <f>MAX(0,1-ABS(J7))</f>
        <v/>
      </c>
    </row>
    <row r="8">
      <c r="A8" s="4" t="inlineStr">
        <is>
          <t>PETR4</t>
        </is>
      </c>
      <c r="B8" s="5" t="n">
        <v>46.91</v>
      </c>
      <c r="C8" s="5" t="n">
        <v>41.25</v>
      </c>
      <c r="D8" s="6" t="n">
        <v>38.06000137329102</v>
      </c>
      <c r="E8" s="7" t="n">
        <v>1</v>
      </c>
      <c r="F8" s="5">
        <f>C8*E8</f>
        <v/>
      </c>
      <c r="G8" s="5">
        <f>D8*E8</f>
        <v/>
      </c>
      <c r="H8" s="5">
        <f>G8-F8</f>
        <v/>
      </c>
      <c r="I8" s="8">
        <f>IF(C8=0,0,(D8-C8)/C8)</f>
        <v/>
      </c>
      <c r="J8" s="8">
        <f>IF(D8=0,0,(B8-D8)/D8)</f>
        <v/>
      </c>
      <c r="K8" s="8">
        <f>MAX(0,1-ABS(J8))</f>
        <v/>
      </c>
    </row>
    <row r="9">
      <c r="A9" s="4" t="inlineStr">
        <is>
          <t>CSAN3</t>
        </is>
      </c>
      <c r="B9" s="5" t="n">
        <v>4.84</v>
      </c>
      <c r="C9" s="5" t="n">
        <v>3.58</v>
      </c>
      <c r="D9" s="6" t="n">
        <v>3.759999990463257</v>
      </c>
      <c r="E9" s="7" t="n">
        <v>1</v>
      </c>
      <c r="F9" s="5">
        <f>C9*E9</f>
        <v/>
      </c>
      <c r="G9" s="5">
        <f>D9*E9</f>
        <v/>
      </c>
      <c r="H9" s="5">
        <f>G9-F9</f>
        <v/>
      </c>
      <c r="I9" s="8">
        <f>IF(C9=0,0,(D9-C9)/C9)</f>
        <v/>
      </c>
      <c r="J9" s="8">
        <f>IF(D9=0,0,(B9-D9)/D9)</f>
        <v/>
      </c>
      <c r="K9" s="8">
        <f>MAX(0,1-ABS(J9))</f>
        <v/>
      </c>
    </row>
    <row r="10">
      <c r="A10" s="4" t="inlineStr">
        <is>
          <t>PRIO3</t>
        </is>
      </c>
      <c r="B10" s="5" t="n">
        <v>68.59999999999999</v>
      </c>
      <c r="C10" s="5" t="n">
        <v>62.59</v>
      </c>
      <c r="D10" s="6" t="n">
        <v>53.29000091552734</v>
      </c>
      <c r="E10" s="7" t="n">
        <v>1</v>
      </c>
      <c r="F10" s="5">
        <f>C10*E10</f>
        <v/>
      </c>
      <c r="G10" s="5">
        <f>D10*E10</f>
        <v/>
      </c>
      <c r="H10" s="5">
        <f>G10-F10</f>
        <v/>
      </c>
      <c r="I10" s="8">
        <f>IF(C10=0,0,(D10-C10)/C10)</f>
        <v/>
      </c>
      <c r="J10" s="8">
        <f>IF(D10=0,0,(B10-D10)/D10)</f>
        <v/>
      </c>
      <c r="K10" s="8">
        <f>MAX(0,1-ABS(J10))</f>
        <v/>
      </c>
    </row>
    <row r="11">
      <c r="A11" s="4" t="inlineStr">
        <is>
          <t>RAIL3</t>
        </is>
      </c>
      <c r="B11" s="5" t="n">
        <v>15.59</v>
      </c>
      <c r="C11" s="5" t="n">
        <v>13.89</v>
      </c>
      <c r="D11" s="6" t="n">
        <v>13.6899995803833</v>
      </c>
      <c r="E11" s="7" t="n">
        <v>1</v>
      </c>
      <c r="F11" s="5">
        <f>C11*E11</f>
        <v/>
      </c>
      <c r="G11" s="5">
        <f>D11*E11</f>
        <v/>
      </c>
      <c r="H11" s="5">
        <f>G11-F11</f>
        <v/>
      </c>
      <c r="I11" s="8">
        <f>IF(C11=0,0,(D11-C11)/C11)</f>
        <v/>
      </c>
      <c r="J11" s="8">
        <f>IF(D11=0,0,(B11-D11)/D11)</f>
        <v/>
      </c>
      <c r="K11" s="8">
        <f>MAX(0,1-ABS(J11))</f>
        <v/>
      </c>
    </row>
    <row r="12">
      <c r="A12" s="4" t="inlineStr">
        <is>
          <t>ODPV3</t>
        </is>
      </c>
      <c r="B12" s="5" t="n">
        <v>13.81</v>
      </c>
      <c r="C12" s="5" t="n">
        <v>12.78</v>
      </c>
      <c r="D12" s="6" t="n">
        <v>14.27999973297119</v>
      </c>
      <c r="E12" s="7" t="n">
        <v>1</v>
      </c>
      <c r="F12" s="5">
        <f>C12*E12</f>
        <v/>
      </c>
      <c r="G12" s="5">
        <f>D12*E12</f>
        <v/>
      </c>
      <c r="H12" s="5">
        <f>G12-F12</f>
        <v/>
      </c>
      <c r="I12" s="8">
        <f>IF(C12=0,0,(D12-C12)/C12)</f>
        <v/>
      </c>
      <c r="J12" s="8">
        <f>IF(D12=0,0,(B12-D12)/D12)</f>
        <v/>
      </c>
      <c r="K12" s="8">
        <f>MAX(0,1-ABS(J12))</f>
        <v/>
      </c>
    </row>
    <row r="13">
      <c r="A13" s="4" t="inlineStr">
        <is>
          <t>SAUD3</t>
        </is>
      </c>
      <c r="B13" s="5" t="n">
        <v>13.81</v>
      </c>
      <c r="C13" s="5" t="n">
        <v>12.78</v>
      </c>
      <c r="D13" s="6" t="n">
        <v>14.27999973297119</v>
      </c>
      <c r="E13" s="7" t="n">
        <v>1</v>
      </c>
      <c r="F13" s="5">
        <f>C13*E13</f>
        <v/>
      </c>
      <c r="G13" s="5">
        <f>D13*E13</f>
        <v/>
      </c>
      <c r="H13" s="5">
        <f>G13-F13</f>
        <v/>
      </c>
      <c r="I13" s="8">
        <f>IF(C13=0,0,(D13-C13)/C13)</f>
        <v/>
      </c>
      <c r="J13" s="8">
        <f>IF(D13=0,0,(B13-D13)/D13)</f>
        <v/>
      </c>
      <c r="K13" s="8">
        <f>MAX(0,1-ABS(J13))</f>
        <v/>
      </c>
    </row>
    <row r="14">
      <c r="A14" s="4" t="inlineStr">
        <is>
          <t>SCAR3</t>
        </is>
      </c>
      <c r="B14" s="5" t="n">
        <v>14.07</v>
      </c>
      <c r="C14" s="5" t="n">
        <v>12.85</v>
      </c>
      <c r="D14" s="6" t="n">
        <v>12.39999961853027</v>
      </c>
      <c r="E14" s="7" t="n">
        <v>1</v>
      </c>
      <c r="F14" s="5">
        <f>C14*E14</f>
        <v/>
      </c>
      <c r="G14" s="5">
        <f>D14*E14</f>
        <v/>
      </c>
      <c r="H14" s="5">
        <f>G14-F14</f>
        <v/>
      </c>
      <c r="I14" s="8">
        <f>IF(C14=0,0,(D14-C14)/C14)</f>
        <v/>
      </c>
      <c r="J14" s="8">
        <f>IF(D14=0,0,(B14-D14)/D14)</f>
        <v/>
      </c>
      <c r="K14" s="8">
        <f>MAX(0,1-ABS(J14))</f>
        <v/>
      </c>
    </row>
    <row r="15">
      <c r="A15" s="4" t="inlineStr">
        <is>
          <t>AZZA3</t>
        </is>
      </c>
      <c r="B15" s="5" t="n">
        <v>20.7</v>
      </c>
      <c r="C15" s="5" t="n">
        <v>17.38</v>
      </c>
      <c r="D15" s="6" t="n">
        <v>18.98999977111816</v>
      </c>
      <c r="E15" s="7" t="n">
        <v>1</v>
      </c>
      <c r="F15" s="5">
        <f>C15*E15</f>
        <v/>
      </c>
      <c r="G15" s="5">
        <f>D15*E15</f>
        <v/>
      </c>
      <c r="H15" s="5">
        <f>G15-F15</f>
        <v/>
      </c>
      <c r="I15" s="8">
        <f>IF(C15=0,0,(D15-C15)/C15)</f>
        <v/>
      </c>
      <c r="J15" s="8">
        <f>IF(D15=0,0,(B15-D15)/D15)</f>
        <v/>
      </c>
      <c r="K15" s="8">
        <f>MAX(0,1-ABS(J15))</f>
        <v/>
      </c>
    </row>
    <row r="16">
      <c r="A16" s="9" t="inlineStr">
        <is>
          <t>TOTAL / GERAL</t>
        </is>
      </c>
      <c r="B16" s="10" t="n"/>
      <c r="C16" s="10" t="n"/>
      <c r="D16" s="10" t="n"/>
      <c r="E16" s="11">
        <f>SUM(E4:E15)</f>
        <v/>
      </c>
      <c r="F16" s="12">
        <f>SUM(F4:F15)</f>
        <v/>
      </c>
      <c r="G16" s="12">
        <f>SUM(G4:G15)</f>
        <v/>
      </c>
      <c r="H16" s="12">
        <f>SUM(H4:H15)</f>
        <v/>
      </c>
      <c r="I16" s="13">
        <f>IF(F16=0,0,H16/F16)</f>
        <v/>
      </c>
      <c r="J16" s="13">
        <f>AVERAGE(J4:J15)</f>
        <v/>
      </c>
      <c r="K16" s="13">
        <f>AVERAGE(K4:K15)</f>
        <v/>
      </c>
    </row>
  </sheetData>
  <mergeCells count="2">
    <mergeCell ref="A1:K1"/>
    <mergeCell ref="A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4" t="inlineStr">
        <is>
          <t>Como usar esta planilha</t>
        </is>
      </c>
    </row>
    <row r="2">
      <c r="A2" s="15" t="inlineStr"/>
    </row>
    <row r="3">
      <c r="A3" s="15" t="inlineStr">
        <is>
          <t>1) Quantas ações de cada papel: edite a coluna 'Qtd Ações' (amarelo).</t>
        </is>
      </c>
    </row>
    <row r="4">
      <c r="A4" s="15" t="inlineStr">
        <is>
          <t xml:space="preserve">   Total Pago, Valor Atual, Lucro (R$) e os totais recalculam automaticamente.</t>
        </is>
      </c>
    </row>
    <row r="5">
      <c r="A5" s="15" t="inlineStr">
        <is>
          <t xml:space="preserve">   Para a mesma quantidade em tudo, digite o número numa célula e arraste para baixo.</t>
        </is>
      </c>
    </row>
    <row r="6">
      <c r="A6" s="15" t="inlineStr"/>
    </row>
    <row r="7">
      <c r="A7" s="15" t="inlineStr">
        <is>
          <t>2) 'Preço Atual' (amarelo) = cotação de hoje.</t>
        </is>
      </c>
    </row>
    <row r="8">
      <c r="A8" s="15" t="inlineStr">
        <is>
          <t xml:space="preserve">   O notebook preenche essa coluna sozinho via yfinance; também dá pra digitar/colar.</t>
        </is>
      </c>
    </row>
    <row r="9">
      <c r="A9" s="15" t="inlineStr"/>
    </row>
    <row r="10">
      <c r="A10" s="14" t="inlineStr">
        <is>
          <t>Definições das fórmulas</t>
        </is>
      </c>
    </row>
    <row r="11">
      <c r="A11" s="15" t="inlineStr">
        <is>
          <t>- Lucro %        = (Preço Atual - Preço Compra) / Preço Compra</t>
        </is>
      </c>
    </row>
    <row r="12">
      <c r="A12" s="15" t="inlineStr">
        <is>
          <t>- Erro Prev. %   = (Previsão Jul/26 - Preço Atual) / Preço Atual   (quanto a previsão errou)</t>
        </is>
      </c>
    </row>
    <row r="13">
      <c r="A13" s="15" t="inlineStr">
        <is>
          <t>- Acerto %       = 1 - |Erro Prev. %|   (quanto acertou; nunca abaixo de 0)</t>
        </is>
      </c>
    </row>
    <row r="14">
      <c r="A14" s="15" t="inlineStr">
        <is>
          <t>- Lucro % geral  = Lucro total (R$) / Total pago (R$)</t>
        </is>
      </c>
    </row>
    <row r="15">
      <c r="A15" s="15" t="inlineStr">
        <is>
          <t>- Acerto % geral = média do Acerto % de cada ticker</t>
        </is>
      </c>
    </row>
    <row r="16">
      <c r="A16" s="15" t="inlineStr"/>
    </row>
    <row r="17">
      <c r="A17" s="15" t="inlineStr">
        <is>
          <t>Preço de compra: data de 01/06/2026 (informado por você).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2026-06-28T13:28:27Z</dcterms:created>
  <dcterms:modified xmlns:dcterms="http://purl.org/dc/terms/" xmlns:xsi="http://www.w3.org/2001/XMLSchema-instance" xsi:type="dcterms:W3CDTF">2026-06-28T13:28:27Z</dcterms:modified>
</cp:coreProperties>
</file>